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TE479\"/>
    </mc:Choice>
  </mc:AlternateContent>
  <xr:revisionPtr revIDLastSave="0" documentId="8_{57E2154C-F25C-45F5-B7C8-BDB4D88FF7DB}" xr6:coauthVersionLast="47" xr6:coauthVersionMax="47" xr10:uidLastSave="{00000000-0000-0000-0000-000000000000}"/>
  <bookViews>
    <workbookView xWindow="-108" yWindow="-108" windowWidth="23256" windowHeight="13176" activeTab="1" xr2:uid="{49E9E477-DE39-4A43-A2B8-6F05B1BC785B}"/>
  </bookViews>
  <sheets>
    <sheet name="Question1" sheetId="1" r:id="rId1"/>
    <sheet name="Questio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2" l="1"/>
  <c r="C25" i="2"/>
  <c r="C24" i="2"/>
  <c r="C23" i="2"/>
  <c r="C22" i="2"/>
  <c r="C21" i="2"/>
  <c r="B13" i="2"/>
  <c r="C11" i="2"/>
  <c r="C10" i="2"/>
  <c r="C9" i="2"/>
  <c r="C8" i="2"/>
  <c r="C7" i="2"/>
  <c r="E13" i="1"/>
  <c r="E12" i="1"/>
  <c r="E11" i="1"/>
  <c r="E10" i="1"/>
  <c r="E9" i="1"/>
  <c r="E8" i="1"/>
  <c r="E7" i="1"/>
  <c r="E6" i="1"/>
  <c r="E5" i="1"/>
  <c r="E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<sst xmlns="http://schemas.openxmlformats.org/spreadsheetml/2006/main" count="22" uniqueCount="13">
  <si>
    <t>Year</t>
  </si>
  <si>
    <t>Project 1</t>
  </si>
  <si>
    <t>Project 2</t>
  </si>
  <si>
    <t>Cash Flows</t>
  </si>
  <si>
    <t>Cummulative cash flows</t>
  </si>
  <si>
    <t>Cumulative cash flows</t>
  </si>
  <si>
    <t>Simple payback</t>
  </si>
  <si>
    <t>For Project A</t>
  </si>
  <si>
    <t>Discount Rate</t>
  </si>
  <si>
    <t>Initial Investment</t>
  </si>
  <si>
    <t>Discounting Factor</t>
  </si>
  <si>
    <t>Net Present Value</t>
  </si>
  <si>
    <t>For Project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</si>
</sst>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3" borderId="1" xfId="0" applyFont="1" applyFill="1" applyBorder="1"/>
    <xf numFmtId="0" fontId="2" fillId="3" borderId="1" xfId="0" applyFont="1" applyFill="1" applyBorder="1"/>
    <xf numFmtId="0" fontId="2" fillId="4" borderId="0" xfId="0" applyFont="1" applyFill="1"/>
    <xf numFmtId="0" fontId="3" fillId="0" borderId="0" xfId="0" applyFont="1"/>
    <xf numFmtId="0" fontId="2" fillId="5" borderId="4" xfId="0" applyFont="1" applyFill="1" applyBorder="1"/>
    <xf numFmtId="9" fontId="3" fillId="0" borderId="4" xfId="2" applyFont="1" applyBorder="1"/>
    <xf numFmtId="44" fontId="3" fillId="0" borderId="4" xfId="1" applyFont="1" applyBorder="1"/>
    <xf numFmtId="0" fontId="3" fillId="0" borderId="4" xfId="0" applyFont="1" applyBorder="1"/>
    <xf numFmtId="164" fontId="3" fillId="0" borderId="4" xfId="1" applyNumberFormat="1" applyFont="1" applyBorder="1"/>
    <xf numFmtId="164" fontId="3" fillId="0" borderId="4" xfId="0" applyNumberFormat="1" applyFont="1" applyBorder="1"/>
    <xf numFmtId="0" fontId="3" fillId="5" borderId="4" xfId="0" applyFont="1" applyFill="1" applyBorder="1"/>
    <xf numFmtId="164" fontId="2" fillId="3" borderId="4" xfId="0" applyNumberFormat="1" applyFont="1" applyFill="1" applyBorder="1"/>
    <xf numFmtId="164" fontId="3" fillId="0" borderId="0" xfId="0" applyNumberFormat="1" applyFont="1"/>
    <xf numFmtId="6" fontId="3" fillId="0" borderId="4" xfId="1" applyNumberFormat="1" applyFont="1" applyBorder="1"/>
    <xf numFmtId="44" fontId="2" fillId="3" borderId="4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E733-86FA-44EC-8CB8-DC95E5679C34}">
  <dimension ref="A1:E14"/>
  <sheetViews>
    <sheetView topLeftCell="D1" workbookViewId="0">
      <selection activeCell="E14" sqref="E14"/>
    </sheetView>
  </sheetViews>
  <sheetFormatPr defaultRowHeight="14.4" x14ac:dyDescent="0.3"/>
  <cols>
    <col min="1" max="1" width="17.21875" customWidth="1"/>
    <col min="2" max="2" width="23.33203125" customWidth="1"/>
    <col min="3" max="3" width="32.44140625" customWidth="1"/>
    <col min="4" max="4" width="15" customWidth="1"/>
    <col min="5" max="5" width="28.21875" customWidth="1"/>
  </cols>
  <sheetData>
    <row r="1" spans="1:5" ht="19.2" thickTop="1" thickBot="1" x14ac:dyDescent="0.4">
      <c r="A1" s="1" t="s">
        <v>0</v>
      </c>
      <c r="B1" s="2" t="s">
        <v>1</v>
      </c>
      <c r="C1" s="3"/>
      <c r="D1" s="2" t="s">
        <v>2</v>
      </c>
      <c r="E1" s="3"/>
    </row>
    <row r="2" spans="1:5" ht="19.2" thickTop="1" thickBot="1" x14ac:dyDescent="0.4">
      <c r="A2" s="1"/>
      <c r="B2" s="1" t="s">
        <v>3</v>
      </c>
      <c r="C2" s="1" t="s">
        <v>4</v>
      </c>
      <c r="D2" s="1" t="s">
        <v>3</v>
      </c>
      <c r="E2" s="1" t="s">
        <v>5</v>
      </c>
    </row>
    <row r="3" spans="1:5" ht="19.2" thickTop="1" thickBot="1" x14ac:dyDescent="0.4">
      <c r="A3" s="4">
        <v>0</v>
      </c>
      <c r="B3" s="4">
        <v>-3000</v>
      </c>
      <c r="C3" s="4">
        <v>-3000</v>
      </c>
      <c r="D3" s="4">
        <v>-4000</v>
      </c>
      <c r="E3" s="5">
        <v>-4000</v>
      </c>
    </row>
    <row r="4" spans="1:5" ht="19.2" thickTop="1" thickBot="1" x14ac:dyDescent="0.4">
      <c r="A4" s="4">
        <v>1</v>
      </c>
      <c r="B4" s="4">
        <v>200</v>
      </c>
      <c r="C4" s="4">
        <f>C3+B4</f>
        <v>-2800</v>
      </c>
      <c r="D4" s="4">
        <v>500</v>
      </c>
      <c r="E4" s="5">
        <f>E3+D4</f>
        <v>-3500</v>
      </c>
    </row>
    <row r="5" spans="1:5" ht="19.2" thickTop="1" thickBot="1" x14ac:dyDescent="0.4">
      <c r="A5" s="4">
        <v>2</v>
      </c>
      <c r="B5" s="4">
        <v>250</v>
      </c>
      <c r="C5" s="4">
        <f>C4+B5</f>
        <v>-2550</v>
      </c>
      <c r="D5" s="4">
        <v>550</v>
      </c>
      <c r="E5" s="5">
        <f>E4+D5</f>
        <v>-2950</v>
      </c>
    </row>
    <row r="6" spans="1:5" ht="19.2" thickTop="1" thickBot="1" x14ac:dyDescent="0.4">
      <c r="A6" s="4">
        <v>3</v>
      </c>
      <c r="B6" s="4">
        <v>300</v>
      </c>
      <c r="C6" s="4">
        <f>C5+B6</f>
        <v>-2250</v>
      </c>
      <c r="D6" s="4">
        <v>600</v>
      </c>
      <c r="E6" s="5">
        <f>E5+D6</f>
        <v>-2350</v>
      </c>
    </row>
    <row r="7" spans="1:5" ht="19.2" thickTop="1" thickBot="1" x14ac:dyDescent="0.4">
      <c r="A7" s="4">
        <v>4</v>
      </c>
      <c r="B7" s="4">
        <v>350</v>
      </c>
      <c r="C7" s="4">
        <f>C6+B7</f>
        <v>-1900</v>
      </c>
      <c r="D7" s="4">
        <v>650</v>
      </c>
      <c r="E7" s="5">
        <f>E6+D7</f>
        <v>-1700</v>
      </c>
    </row>
    <row r="8" spans="1:5" ht="19.2" thickTop="1" thickBot="1" x14ac:dyDescent="0.4">
      <c r="A8" s="4">
        <v>5</v>
      </c>
      <c r="B8" s="4">
        <v>400</v>
      </c>
      <c r="C8" s="4">
        <f>C7+B8</f>
        <v>-1500</v>
      </c>
      <c r="D8" s="4">
        <v>700</v>
      </c>
      <c r="E8" s="5">
        <f>E7+D8</f>
        <v>-1000</v>
      </c>
    </row>
    <row r="9" spans="1:5" ht="19.2" thickTop="1" thickBot="1" x14ac:dyDescent="0.4">
      <c r="A9" s="4">
        <v>6</v>
      </c>
      <c r="B9" s="4">
        <v>450</v>
      </c>
      <c r="C9" s="4">
        <f>C8+B9</f>
        <v>-1050</v>
      </c>
      <c r="D9" s="4">
        <v>750</v>
      </c>
      <c r="E9" s="5">
        <f>E8+D9</f>
        <v>-250</v>
      </c>
    </row>
    <row r="10" spans="1:5" ht="19.2" thickTop="1" thickBot="1" x14ac:dyDescent="0.4">
      <c r="A10" s="4">
        <v>7</v>
      </c>
      <c r="B10" s="4">
        <v>500</v>
      </c>
      <c r="C10" s="4">
        <f>C9+B10</f>
        <v>-550</v>
      </c>
      <c r="D10" s="4">
        <v>800</v>
      </c>
      <c r="E10" s="5">
        <f>E9+D10</f>
        <v>550</v>
      </c>
    </row>
    <row r="11" spans="1:5" ht="19.2" thickTop="1" thickBot="1" x14ac:dyDescent="0.4">
      <c r="A11" s="4">
        <v>8</v>
      </c>
      <c r="B11" s="4">
        <v>550</v>
      </c>
      <c r="C11" s="4">
        <f>C10+B11</f>
        <v>0</v>
      </c>
      <c r="D11" s="4">
        <v>850</v>
      </c>
      <c r="E11" s="5">
        <f>E10+D11</f>
        <v>1400</v>
      </c>
    </row>
    <row r="12" spans="1:5" ht="19.2" thickTop="1" thickBot="1" x14ac:dyDescent="0.4">
      <c r="A12" s="4">
        <v>9</v>
      </c>
      <c r="B12" s="4">
        <v>600</v>
      </c>
      <c r="C12" s="4">
        <f>C11+B12</f>
        <v>600</v>
      </c>
      <c r="D12" s="4">
        <v>900</v>
      </c>
      <c r="E12" s="5">
        <f>E11+D12</f>
        <v>2300</v>
      </c>
    </row>
    <row r="13" spans="1:5" ht="19.2" thickTop="1" thickBot="1" x14ac:dyDescent="0.4">
      <c r="A13" s="6" t="s">
        <v>6</v>
      </c>
      <c r="B13" s="5"/>
      <c r="C13" s="7">
        <f>7+ABS(C10)/B11</f>
        <v>8</v>
      </c>
      <c r="D13" s="5"/>
      <c r="E13" s="6">
        <f>6+ABS(E9)/D10</f>
        <v>6.3125</v>
      </c>
    </row>
    <row r="14" spans="1:5" ht="15" thickTop="1" x14ac:dyDescent="0.3"/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A12E-E102-44FE-B013-C2AE90E18112}">
  <dimension ref="A1:C28"/>
  <sheetViews>
    <sheetView tabSelected="1" topLeftCell="A7" workbookViewId="0">
      <selection activeCell="B27" sqref="B27"/>
    </sheetView>
  </sheetViews>
  <sheetFormatPr defaultRowHeight="14.4" x14ac:dyDescent="0.3"/>
  <cols>
    <col min="1" max="1" width="58.77734375" customWidth="1"/>
    <col min="2" max="2" width="32" customWidth="1"/>
    <col min="3" max="3" width="26.33203125" customWidth="1"/>
    <col min="4" max="4" width="12.88671875" customWidth="1"/>
  </cols>
  <sheetData>
    <row r="1" spans="1:3" ht="18" x14ac:dyDescent="0.35">
      <c r="A1" s="8" t="s">
        <v>7</v>
      </c>
      <c r="B1" s="9"/>
      <c r="C1" s="9"/>
    </row>
    <row r="2" spans="1:3" ht="18" x14ac:dyDescent="0.35">
      <c r="A2" s="9"/>
      <c r="B2" s="9"/>
      <c r="C2" s="9"/>
    </row>
    <row r="3" spans="1:3" ht="18" x14ac:dyDescent="0.35">
      <c r="A3" s="10" t="s">
        <v>8</v>
      </c>
      <c r="B3" s="11">
        <v>0.04</v>
      </c>
      <c r="C3" s="9"/>
    </row>
    <row r="4" spans="1:3" ht="18" x14ac:dyDescent="0.35">
      <c r="A4" s="10" t="s">
        <v>9</v>
      </c>
      <c r="B4" s="19">
        <v>30000</v>
      </c>
      <c r="C4" s="9"/>
    </row>
    <row r="5" spans="1:3" ht="18" x14ac:dyDescent="0.35">
      <c r="A5" s="9"/>
      <c r="B5" s="9"/>
      <c r="C5" s="9"/>
    </row>
    <row r="6" spans="1:3" ht="18" x14ac:dyDescent="0.35">
      <c r="A6" s="10" t="s">
        <v>0</v>
      </c>
      <c r="B6" s="10" t="s">
        <v>3</v>
      </c>
      <c r="C6" s="10" t="s">
        <v>10</v>
      </c>
    </row>
    <row r="7" spans="1:3" ht="18" x14ac:dyDescent="0.35">
      <c r="A7" s="13">
        <v>1</v>
      </c>
      <c r="B7" s="14">
        <v>100000</v>
      </c>
      <c r="C7" s="15">
        <f>B7/(1+B3)^A7</f>
        <v>96153.846153846156</v>
      </c>
    </row>
    <row r="8" spans="1:3" ht="18" x14ac:dyDescent="0.35">
      <c r="A8" s="13">
        <v>2</v>
      </c>
      <c r="B8" s="14">
        <v>100000</v>
      </c>
      <c r="C8" s="15">
        <f>B8/(1+B3)^A8</f>
        <v>92455.621301775143</v>
      </c>
    </row>
    <row r="9" spans="1:3" ht="18" x14ac:dyDescent="0.35">
      <c r="A9" s="13">
        <v>3</v>
      </c>
      <c r="B9" s="14">
        <v>100000</v>
      </c>
      <c r="C9" s="15">
        <f>B9/(1+B3)^A9</f>
        <v>88899.635867091478</v>
      </c>
    </row>
    <row r="10" spans="1:3" ht="18" x14ac:dyDescent="0.35">
      <c r="A10" s="13">
        <v>4</v>
      </c>
      <c r="B10" s="14">
        <v>100000</v>
      </c>
      <c r="C10" s="15">
        <f>B10/(1+B3)^A10</f>
        <v>85480.419102972563</v>
      </c>
    </row>
    <row r="11" spans="1:3" ht="18" x14ac:dyDescent="0.35">
      <c r="A11" s="13">
        <v>5</v>
      </c>
      <c r="B11" s="14">
        <v>100000</v>
      </c>
      <c r="C11" s="15">
        <f>B11/(1+B3)^A11</f>
        <v>82192.710675935159</v>
      </c>
    </row>
    <row r="12" spans="1:3" ht="18" x14ac:dyDescent="0.35">
      <c r="A12" s="9"/>
      <c r="B12" s="9"/>
      <c r="C12" s="9"/>
    </row>
    <row r="13" spans="1:3" ht="18" x14ac:dyDescent="0.35">
      <c r="A13" s="16" t="s">
        <v>11</v>
      </c>
      <c r="B13" s="17">
        <f>SUM(C7:C11)-B4</f>
        <v>415182.23310162046</v>
      </c>
      <c r="C13" s="9"/>
    </row>
    <row r="14" spans="1:3" ht="18" x14ac:dyDescent="0.35">
      <c r="A14" s="9"/>
      <c r="B14" s="18"/>
      <c r="C14" s="9"/>
    </row>
    <row r="15" spans="1:3" ht="18" x14ac:dyDescent="0.35">
      <c r="A15" s="8" t="s">
        <v>12</v>
      </c>
      <c r="B15" s="9"/>
      <c r="C15" s="9"/>
    </row>
    <row r="16" spans="1:3" ht="18" x14ac:dyDescent="0.35">
      <c r="A16" s="9"/>
      <c r="B16" s="9"/>
      <c r="C16" s="9"/>
    </row>
    <row r="17" spans="1:3" ht="18" x14ac:dyDescent="0.35">
      <c r="A17" s="10" t="s">
        <v>8</v>
      </c>
      <c r="B17" s="11">
        <v>0.04</v>
      </c>
      <c r="C17" s="9"/>
    </row>
    <row r="18" spans="1:3" ht="18" x14ac:dyDescent="0.35">
      <c r="A18" s="10" t="s">
        <v>9</v>
      </c>
      <c r="B18" s="12">
        <v>50000</v>
      </c>
      <c r="C18" s="9"/>
    </row>
    <row r="19" spans="1:3" ht="18" x14ac:dyDescent="0.35">
      <c r="A19" s="9"/>
      <c r="B19" s="9"/>
      <c r="C19" s="9"/>
    </row>
    <row r="20" spans="1:3" ht="18" x14ac:dyDescent="0.35">
      <c r="A20" s="10" t="s">
        <v>0</v>
      </c>
      <c r="B20" s="10" t="s">
        <v>3</v>
      </c>
      <c r="C20" s="10" t="s">
        <v>10</v>
      </c>
    </row>
    <row r="21" spans="1:3" ht="18" x14ac:dyDescent="0.35">
      <c r="A21" s="13">
        <v>1</v>
      </c>
      <c r="B21" s="14">
        <v>100000</v>
      </c>
      <c r="C21" s="15">
        <f>B21/(1+B17)^A21</f>
        <v>96153.846153846156</v>
      </c>
    </row>
    <row r="22" spans="1:3" ht="18" x14ac:dyDescent="0.35">
      <c r="A22" s="13">
        <v>2</v>
      </c>
      <c r="B22" s="14">
        <v>150000</v>
      </c>
      <c r="C22" s="15">
        <f>B22/(1+B17)^A22</f>
        <v>138683.43195266271</v>
      </c>
    </row>
    <row r="23" spans="1:3" ht="18" x14ac:dyDescent="0.35">
      <c r="A23" s="13">
        <v>3</v>
      </c>
      <c r="B23" s="14">
        <v>200000</v>
      </c>
      <c r="C23" s="15">
        <f>B23/(1+B17)^A23</f>
        <v>177799.27173418296</v>
      </c>
    </row>
    <row r="24" spans="1:3" ht="18" x14ac:dyDescent="0.35">
      <c r="A24" s="13">
        <v>4</v>
      </c>
      <c r="B24" s="14">
        <v>250000</v>
      </c>
      <c r="C24" s="15">
        <f>B24/(1+B17)^A24</f>
        <v>213701.04775743143</v>
      </c>
    </row>
    <row r="25" spans="1:3" ht="18" x14ac:dyDescent="0.35">
      <c r="A25" s="13">
        <v>5</v>
      </c>
      <c r="B25" s="14">
        <v>250000</v>
      </c>
      <c r="C25" s="15">
        <f>B25/(1+B17)^A25</f>
        <v>205481.77668983789</v>
      </c>
    </row>
    <row r="26" spans="1:3" ht="18" x14ac:dyDescent="0.35">
      <c r="A26" s="9"/>
      <c r="B26" s="9"/>
      <c r="C26" s="9"/>
    </row>
    <row r="27" spans="1:3" ht="18" x14ac:dyDescent="0.35">
      <c r="A27" s="16" t="s">
        <v>11</v>
      </c>
      <c r="B27" s="20">
        <f>SUM(C21:C25)-B18</f>
        <v>781819.37428796117</v>
      </c>
      <c r="C27" s="9"/>
    </row>
    <row r="28" spans="1:3" ht="18" x14ac:dyDescent="0.35">
      <c r="A28" s="9"/>
      <c r="B28" s="9"/>
      <c r="C2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Question1</vt:lpstr>
      <vt:lpstr>Question2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2025-05-20T08:25:45Z</dcterms:created>
  <dcterms:modified xsi:type="dcterms:W3CDTF">2025-05-20T08:41:59Z</dcterms:modified>
</cp:coreProperties>
</file>